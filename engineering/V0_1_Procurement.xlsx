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0.1 Buy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<sst xmlns="http://schemas.openxmlformats.org/spreadsheetml/2006/main" count="192" uniqueCount="127">
  <si>
    <t xml:space="preserve">Slipstream V0.1 — Bench Build Procurement</t>
  </si>
  <si>
    <t xml:space="preserve">Window: Q3 2026 – Q1 2027 · Budget bucket $13,000–21,000 (Roadmap II.1) · prices = researched street, blue = update at PO</t>
  </si>
  <si>
    <t xml:space="preserve">Phase</t>
  </si>
  <si>
    <t xml:space="preserve">Track</t>
  </si>
  <si>
    <t xml:space="preserve">Item</t>
  </si>
  <si>
    <t xml:space="preserve">Spec / SKU</t>
  </si>
  <si>
    <t xml:space="preserve">Vendor (researched)</t>
  </si>
  <si>
    <t xml:space="preserve">Unit $</t>
  </si>
  <si>
    <t xml:space="preserve">Qty</t>
  </si>
  <si>
    <t xml:space="preserve">Ext $</t>
  </si>
  <si>
    <t xml:space="preserve">Status</t>
  </si>
  <si>
    <t xml:space="preserve">Notes / trigger</t>
  </si>
  <si>
    <t xml:space="preserve">SS01</t>
  </si>
  <si>
    <t xml:space="preserve">EVE LF280K V3 cell, Grade A</t>
  </si>
  <si>
    <t xml:space="preserve">3.2V 280Ah prismatic, QR-verified</t>
  </si>
  <si>
    <t xml:space="preserve">GobelPower / Docan (US stock) / 18650BatteryStore</t>
  </si>
  <si>
    <t xml:space="preserve">To order</t>
  </si>
  <si>
    <t xml:space="preserve">LONG LEAD — order first. Confirm side-lay orientation with distributor before PO (SS01 Q1)</t>
  </si>
  <si>
    <t xml:space="preserve">JK BMS</t>
  </si>
  <si>
    <t xml:space="preserve">PB2A16S20P 16S 200A, 2A active balance, CAN/RS485</t>
  </si>
  <si>
    <t xml:space="preserve">JKBMS / Docan kit</t>
  </si>
  <si>
    <t xml:space="preserve">CAN profile to Cerbo is SS01 Q4</t>
  </si>
  <si>
    <t xml:space="preserve">Pack heater pad + thermostat</t>
  </si>
  <si>
    <t xml:space="preserve">48V silicone, BMS-interlocked</t>
  </si>
  <si>
    <t xml:space="preserve">generic</t>
  </si>
  <si>
    <t xml:space="preserve">Charge lockout &lt;0°C regardless</t>
  </si>
  <si>
    <t xml:space="preserve">Class-T fuse + holder + disconnect + busbar</t>
  </si>
  <si>
    <t xml:space="preserve">200A class</t>
  </si>
  <si>
    <t xml:space="preserve">Blue Sea / Victron</t>
  </si>
  <si>
    <t xml:space="preserve">SS02</t>
  </si>
  <si>
    <t xml:space="preserve">Victron MultiPlus-II 48/3000/35</t>
  </si>
  <si>
    <t xml:space="preserve">inverter/charger</t>
  </si>
  <si>
    <t xml:space="preserve">authorized Victron dealer</t>
  </si>
  <si>
    <t xml:space="preserve">Shared platform slug w/ House BUS</t>
  </si>
  <si>
    <t xml:space="preserve">Victron SmartSolar MPPT 250/60-Tr</t>
  </si>
  <si>
    <t xml:space="preserve">SCC125060221</t>
  </si>
  <si>
    <t xml:space="preserve">Off Grid Stores ~$435 / solar-electric ~$415</t>
  </si>
  <si>
    <t xml:space="preserve">Victron Cerbo GX MK2</t>
  </si>
  <si>
    <t xml:space="preserve">system monitor + relays</t>
  </si>
  <si>
    <t xml:space="preserve">Amazon / dealer</t>
  </si>
  <si>
    <t xml:space="preserve">Victron GX LTE 4G</t>
  </si>
  <si>
    <t xml:space="preserve">cellular for VRM</t>
  </si>
  <si>
    <t xml:space="preserve">dealer</t>
  </si>
  <si>
    <t xml:space="preserve">Buy — earns its keep at the campsite</t>
  </si>
  <si>
    <t xml:space="preserve">Victron SmartShunt 500A</t>
  </si>
  <si>
    <t xml:space="preserve">SoC truth independent of JK BMS</t>
  </si>
  <si>
    <t xml:space="preserve">Lynx Distributor (or equiv busbar/fusing)</t>
  </si>
  <si>
    <t xml:space="preserve">MEGA branch fusing</t>
  </si>
  <si>
    <t xml:space="preserve">NEMA 14-50 inlet + outlet + adapter kit</t>
  </si>
  <si>
    <t xml:space="preserve">50→30→20→15A adapters</t>
  </si>
  <si>
    <t xml:space="preserve">various</t>
  </si>
  <si>
    <t xml:space="preserve">DC-DC 48→24V 25A + 48→12V 30A</t>
  </si>
  <si>
    <t xml:space="preserve">two rails, fused</t>
  </si>
  <si>
    <t xml:space="preserve">Victron Orion-Tr / Mean Well</t>
  </si>
  <si>
    <t xml:space="preserve">24V rail feeds actuators (SS03)</t>
  </si>
  <si>
    <t xml:space="preserve">Smart relays/contactors</t>
  </si>
  <si>
    <t xml:space="preserve">water heater + AC precondition</t>
  </si>
  <si>
    <t xml:space="preserve">Wiring, lugs, conduit, breakers</t>
  </si>
  <si>
    <t xml:space="preserve">6 AWG main runs + branch</t>
  </si>
  <si>
    <t xml:space="preserve">SS03</t>
  </si>
  <si>
    <t xml:space="preserve">Progressive PA-17-24-2000 actuator</t>
  </si>
  <si>
    <t xml:space="preserve">24V, 24" stroke, 2,000 lb, IP65</t>
  </si>
  <si>
    <t xml:space="preserve">Progressive Automations</t>
  </si>
  <si>
    <t xml:space="preserve">Confirm 24V coil + limit switch config at order</t>
  </si>
  <si>
    <t xml:space="preserve">4-ch sync controller + encoders</t>
  </si>
  <si>
    <t xml:space="preserve">hall/encoder closed-loop</t>
  </si>
  <si>
    <t xml:space="preserve">FIRGELLI FCB-4 / PA box / DIY ESP32</t>
  </si>
  <si>
    <t xml:space="preserve">SS03 Q1 decides which; budget covers any</t>
  </si>
  <si>
    <t xml:space="preserve">Test rig steel + 200 lb load + hardware</t>
  </si>
  <si>
    <t xml:space="preserve">bench frame at true corner geometry</t>
  </si>
  <si>
    <t xml:space="preserve">local steel yard</t>
  </si>
  <si>
    <t xml:space="preserve">Limit switches + manual override drill drive</t>
  </si>
  <si>
    <t xml:space="preserve">stuck-up recovery</t>
  </si>
  <si>
    <t xml:space="preserve">SS04</t>
  </si>
  <si>
    <t xml:space="preserve">XPS 1" sheets (Foamular 250)</t>
  </si>
  <si>
    <t xml:space="preserve">stack A core, 2× 4x8</t>
  </si>
  <si>
    <t xml:space="preserve">big box</t>
  </si>
  <si>
    <t xml:space="preserve">PIR/PU board 1"</t>
  </si>
  <si>
    <t xml:space="preserve">stack B core, 2× 4x8</t>
  </si>
  <si>
    <t xml:space="preserve">PET foam (Airex T92 class) sample</t>
  </si>
  <si>
    <t xml:space="preserve">stack C core, 2'x4'</t>
  </si>
  <si>
    <t xml:space="preserve">composites supplier</t>
  </si>
  <si>
    <t xml:space="preserve">E-glass roll + epoxy kit + consumables</t>
  </si>
  <si>
    <t xml:space="preserve">6 oz + biax, vacuum-bag film/tacky tape</t>
  </si>
  <si>
    <t xml:space="preserve">US Composites / Fibre Glast</t>
  </si>
  <si>
    <t xml:space="preserve">Pack enclosure fabrication</t>
  </si>
  <si>
    <t xml:space="preserve">Al sheet + compression fixture, IP67 target</t>
  </si>
  <si>
    <t xml:space="preserve">frame fabricator or sheet-metal shop</t>
  </si>
  <si>
    <t xml:space="preserve">AFTER side-lay answer + SS05 rail section freeze</t>
  </si>
  <si>
    <t xml:space="preserve">SS06</t>
  </si>
  <si>
    <t xml:space="preserve">CFD compute (OpenFOAM cloud spot)</t>
  </si>
  <si>
    <t xml:space="preserve">~25M cell runs × matrix</t>
  </si>
  <si>
    <t xml:space="preserve">AWS/GCP spot</t>
  </si>
  <si>
    <t xml:space="preserve">Self-run keeps swing item low</t>
  </si>
  <si>
    <t xml:space="preserve">Methodology audit (consultant spot-check)</t>
  </si>
  <si>
    <t xml:space="preserve">one run reviewed</t>
  </si>
  <si>
    <t xml:space="preserve">freelance aero</t>
  </si>
  <si>
    <t xml:space="preserve">Optional but cheap insurance</t>
  </si>
  <si>
    <t xml:space="preserve">1:8 wind tunnel article + session</t>
  </si>
  <si>
    <t xml:space="preserve">FDM print + fill/sand + tunnel day</t>
  </si>
  <si>
    <t xml:space="preserve">university aero lab (quote)</t>
  </si>
  <si>
    <t xml:space="preserve">SS06 Q3: get 2 quotes</t>
  </si>
  <si>
    <t xml:space="preserve">—</t>
  </si>
  <si>
    <t xml:space="preserve">Interior mockup materials</t>
  </si>
  <si>
    <t xml:space="preserve">cardboard/foam 1:1 cabin</t>
  </si>
  <si>
    <t xml:space="preserve">Gate 6 walkthrough</t>
  </si>
  <si>
    <t xml:space="preserve">Documentation + misc tooling</t>
  </si>
  <si>
    <t xml:space="preserve">crimper, torque wrench, labels</t>
  </si>
  <si>
    <t xml:space="preserve">Subtotal</t>
  </si>
  <si>
    <t xml:space="preserve">Contingency (15%)</t>
  </si>
  <si>
    <t xml:space="preserve">TOTAL</t>
  </si>
  <si>
    <t xml:space="preserve">Roadmap bucket check (II.1)</t>
  </si>
  <si>
    <t xml:space="preserve">Bucket</t>
  </si>
  <si>
    <t xml:space="preserve">Roadmap range</t>
  </si>
  <si>
    <t xml:space="preserve">This list</t>
  </si>
  <si>
    <t xml:space="preserve">Cells + BMS + enclosure</t>
  </si>
  <si>
    <t xml:space="preserve">5,000–7,000</t>
  </si>
  <si>
    <t xml:space="preserve">Inverter/MPPT/Cerbo/wiring</t>
  </si>
  <si>
    <t xml:space="preserve">3,000–4,000</t>
  </si>
  <si>
    <t xml:space="preserve">Actuators + sync + rig</t>
  </si>
  <si>
    <t xml:space="preserve">2,000–3,000</t>
  </si>
  <si>
    <t xml:space="preserve">Composite samples</t>
  </si>
  <si>
    <t xml:space="preserve">500–1,000</t>
  </si>
  <si>
    <t xml:space="preserve">CFD + wind tunnel</t>
  </si>
  <si>
    <t xml:space="preserve">2,000–5,000</t>
  </si>
  <si>
    <t xml:space="preserve">Mockup/tooling/misc</t>
  </si>
  <si>
    <t xml:space="preserve">Order sequence: Phase 1 now (cells are the long-lead pole + electrical spine for Gate 2) → Phase 2 on cell-ship confirmation → Phase 3 after side-lay answer + geometry freeze.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</si>
</sst>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6"/>
      <name val="Arial"/>
      <family val="0"/>
      <charset val="1"/>
    </font>
    <font>
      <i val="true"/>
      <sz val="9"/>
      <color rgb="FF6B77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6B2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78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2F6B2F"/>
      <name val="Arial"/>
      <family val="0"/>
      <charset val="1"/>
    </font>
    <font>
      <b val="true"/>
      <sz val="11"/>
      <color rgb="FF1F3A56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6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2F"/>
      <rgbColor rgb="FF000080"/>
      <rgbColor rgb="FF808000"/>
      <rgbColor rgb="FF800080"/>
      <rgbColor rgb="FF008080"/>
      <rgbColor rgb="FFC0C0C0"/>
      <rgbColor rgb="FF6B7785"/>
      <rgbColor rgb="FF9999FF"/>
      <rgbColor rgb="FF993366"/>
      <rgbColor rgb="FFFFFFCC"/>
      <rgbColor rgb="FFCCFFFF"/>
      <rgbColor rgb="FF660066"/>
      <rgbColor rgb="FFFF8080"/>
      <rgbColor rgb="FF0066CC"/>
      <rgbColor rgb="FFDC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3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s">
        <v>12</v>
      </c>
      <c r="C5" s="6" t="s">
        <v>13</v>
      </c>
      <c r="D5" s="5" t="s">
        <v>14</v>
      </c>
      <c r="E5" s="5" t="s">
        <v>15</v>
      </c>
      <c r="F5" s="7" t="n">
        <v>66</v>
      </c>
      <c r="G5" s="6" t="n">
        <v>16</v>
      </c>
      <c r="H5" s="8" t="n">
        <f aca="false">F5*G5</f>
        <v>1056</v>
      </c>
      <c r="I5" s="9" t="s">
        <v>16</v>
      </c>
      <c r="J5" s="5" t="s">
        <v>17</v>
      </c>
    </row>
    <row r="6" customFormat="false" ht="15" hidden="false" customHeight="false" outlineLevel="0" collapsed="false">
      <c r="A6" s="4" t="n">
        <v>1</v>
      </c>
      <c r="B6" s="5" t="s">
        <v>12</v>
      </c>
      <c r="C6" s="6" t="s">
        <v>18</v>
      </c>
      <c r="D6" s="5" t="s">
        <v>19</v>
      </c>
      <c r="E6" s="5" t="s">
        <v>20</v>
      </c>
      <c r="F6" s="7" t="n">
        <v>250</v>
      </c>
      <c r="G6" s="6" t="n">
        <v>1</v>
      </c>
      <c r="H6" s="8" t="n">
        <f aca="false">F6*G6</f>
        <v>250</v>
      </c>
      <c r="I6" s="9" t="s">
        <v>16</v>
      </c>
      <c r="J6" s="5" t="s">
        <v>21</v>
      </c>
    </row>
    <row r="7" customFormat="false" ht="15" hidden="false" customHeight="false" outlineLevel="0" collapsed="false">
      <c r="A7" s="4" t="n">
        <v>1</v>
      </c>
      <c r="B7" s="5" t="s">
        <v>12</v>
      </c>
      <c r="C7" s="6" t="s">
        <v>22</v>
      </c>
      <c r="D7" s="5" t="s">
        <v>23</v>
      </c>
      <c r="E7" s="5" t="s">
        <v>24</v>
      </c>
      <c r="F7" s="7" t="n">
        <v>100</v>
      </c>
      <c r="G7" s="6" t="n">
        <v>1</v>
      </c>
      <c r="H7" s="8" t="n">
        <f aca="false">F7*G7</f>
        <v>100</v>
      </c>
      <c r="I7" s="9" t="s">
        <v>16</v>
      </c>
      <c r="J7" s="5" t="s">
        <v>25</v>
      </c>
    </row>
    <row r="8" customFormat="false" ht="15" hidden="false" customHeight="false" outlineLevel="0" collapsed="false">
      <c r="A8" s="4" t="n">
        <v>1</v>
      </c>
      <c r="B8" s="5" t="s">
        <v>12</v>
      </c>
      <c r="C8" s="6" t="s">
        <v>26</v>
      </c>
      <c r="D8" s="5" t="s">
        <v>27</v>
      </c>
      <c r="E8" s="5" t="s">
        <v>28</v>
      </c>
      <c r="F8" s="7" t="n">
        <v>250</v>
      </c>
      <c r="G8" s="6" t="n">
        <v>1</v>
      </c>
      <c r="H8" s="8" t="n">
        <f aca="false">F8*G8</f>
        <v>250</v>
      </c>
      <c r="I8" s="9" t="s">
        <v>16</v>
      </c>
      <c r="J8" s="5"/>
    </row>
    <row r="9" customFormat="false" ht="15" hidden="false" customHeight="false" outlineLevel="0" collapsed="false">
      <c r="A9" s="4" t="n">
        <v>1</v>
      </c>
      <c r="B9" s="5" t="s">
        <v>29</v>
      </c>
      <c r="C9" s="6" t="s">
        <v>30</v>
      </c>
      <c r="D9" s="5" t="s">
        <v>31</v>
      </c>
      <c r="E9" s="5" t="s">
        <v>32</v>
      </c>
      <c r="F9" s="7" t="n">
        <v>1200</v>
      </c>
      <c r="G9" s="6" t="n">
        <v>1</v>
      </c>
      <c r="H9" s="8" t="n">
        <f aca="false">F9*G9</f>
        <v>1200</v>
      </c>
      <c r="I9" s="9" t="s">
        <v>16</v>
      </c>
      <c r="J9" s="5" t="s">
        <v>33</v>
      </c>
    </row>
    <row r="10" customFormat="false" ht="15" hidden="false" customHeight="false" outlineLevel="0" collapsed="false">
      <c r="A10" s="4" t="n">
        <v>1</v>
      </c>
      <c r="B10" s="5" t="s">
        <v>29</v>
      </c>
      <c r="C10" s="6" t="s">
        <v>34</v>
      </c>
      <c r="D10" s="5" t="s">
        <v>35</v>
      </c>
      <c r="E10" s="5" t="s">
        <v>36</v>
      </c>
      <c r="F10" s="7" t="n">
        <v>435</v>
      </c>
      <c r="G10" s="6" t="n">
        <v>1</v>
      </c>
      <c r="H10" s="8" t="n">
        <f aca="false">F10*G10</f>
        <v>435</v>
      </c>
      <c r="I10" s="9" t="s">
        <v>16</v>
      </c>
      <c r="J10" s="5"/>
    </row>
    <row r="11" customFormat="false" ht="15" hidden="false" customHeight="false" outlineLevel="0" collapsed="false">
      <c r="A11" s="4" t="n">
        <v>1</v>
      </c>
      <c r="B11" s="5" t="s">
        <v>29</v>
      </c>
      <c r="C11" s="6" t="s">
        <v>37</v>
      </c>
      <c r="D11" s="5" t="s">
        <v>38</v>
      </c>
      <c r="E11" s="5" t="s">
        <v>39</v>
      </c>
      <c r="F11" s="7" t="n">
        <v>300</v>
      </c>
      <c r="G11" s="6" t="n">
        <v>1</v>
      </c>
      <c r="H11" s="8" t="n">
        <f aca="false">F11*G11</f>
        <v>300</v>
      </c>
      <c r="I11" s="9" t="s">
        <v>16</v>
      </c>
      <c r="J11" s="5"/>
    </row>
    <row r="12" customFormat="false" ht="15" hidden="false" customHeight="false" outlineLevel="0" collapsed="false">
      <c r="A12" s="4" t="n">
        <v>1</v>
      </c>
      <c r="B12" s="5" t="s">
        <v>29</v>
      </c>
      <c r="C12" s="6" t="s">
        <v>40</v>
      </c>
      <c r="D12" s="5" t="s">
        <v>41</v>
      </c>
      <c r="E12" s="5" t="s">
        <v>42</v>
      </c>
      <c r="F12" s="7" t="n">
        <v>250</v>
      </c>
      <c r="G12" s="6" t="n">
        <v>1</v>
      </c>
      <c r="H12" s="8" t="n">
        <f aca="false">F12*G12</f>
        <v>250</v>
      </c>
      <c r="I12" s="9" t="s">
        <v>16</v>
      </c>
      <c r="J12" s="5" t="s">
        <v>43</v>
      </c>
    </row>
    <row r="13" customFormat="false" ht="15" hidden="false" customHeight="false" outlineLevel="0" collapsed="false">
      <c r="A13" s="4" t="n">
        <v>1</v>
      </c>
      <c r="B13" s="5" t="s">
        <v>29</v>
      </c>
      <c r="C13" s="6" t="s">
        <v>44</v>
      </c>
      <c r="D13" s="5" t="s">
        <v>45</v>
      </c>
      <c r="E13" s="5" t="s">
        <v>42</v>
      </c>
      <c r="F13" s="7" t="n">
        <v>130</v>
      </c>
      <c r="G13" s="6" t="n">
        <v>1</v>
      </c>
      <c r="H13" s="8" t="n">
        <f aca="false">F13*G13</f>
        <v>130</v>
      </c>
      <c r="I13" s="9" t="s">
        <v>16</v>
      </c>
      <c r="J13" s="5"/>
    </row>
    <row r="14" customFormat="false" ht="15" hidden="false" customHeight="false" outlineLevel="0" collapsed="false">
      <c r="A14" s="4" t="n">
        <v>1</v>
      </c>
      <c r="B14" s="5" t="s">
        <v>29</v>
      </c>
      <c r="C14" s="6" t="s">
        <v>46</v>
      </c>
      <c r="D14" s="5" t="s">
        <v>47</v>
      </c>
      <c r="E14" s="5" t="s">
        <v>42</v>
      </c>
      <c r="F14" s="7" t="n">
        <v>250</v>
      </c>
      <c r="G14" s="6" t="n">
        <v>1</v>
      </c>
      <c r="H14" s="8" t="n">
        <f aca="false">F14*G14</f>
        <v>250</v>
      </c>
      <c r="I14" s="9" t="s">
        <v>16</v>
      </c>
      <c r="J14" s="5"/>
    </row>
    <row r="15" customFormat="false" ht="15" hidden="false" customHeight="false" outlineLevel="0" collapsed="false">
      <c r="A15" s="4" t="n">
        <v>1</v>
      </c>
      <c r="B15" s="5" t="s">
        <v>29</v>
      </c>
      <c r="C15" s="6" t="s">
        <v>48</v>
      </c>
      <c r="D15" s="5" t="s">
        <v>49</v>
      </c>
      <c r="E15" s="5" t="s">
        <v>50</v>
      </c>
      <c r="F15" s="7" t="n">
        <v>350</v>
      </c>
      <c r="G15" s="6" t="n">
        <v>1</v>
      </c>
      <c r="H15" s="8" t="n">
        <f aca="false">F15*G15</f>
        <v>350</v>
      </c>
      <c r="I15" s="9" t="s">
        <v>16</v>
      </c>
      <c r="J15" s="5"/>
    </row>
    <row r="16" customFormat="false" ht="15" hidden="false" customHeight="false" outlineLevel="0" collapsed="false">
      <c r="A16" s="4" t="n">
        <v>1</v>
      </c>
      <c r="B16" s="5" t="s">
        <v>29</v>
      </c>
      <c r="C16" s="6" t="s">
        <v>51</v>
      </c>
      <c r="D16" s="5" t="s">
        <v>52</v>
      </c>
      <c r="E16" s="5" t="s">
        <v>53</v>
      </c>
      <c r="F16" s="7" t="n">
        <v>300</v>
      </c>
      <c r="G16" s="6" t="n">
        <v>1</v>
      </c>
      <c r="H16" s="8" t="n">
        <f aca="false">F16*G16</f>
        <v>300</v>
      </c>
      <c r="I16" s="9" t="s">
        <v>16</v>
      </c>
      <c r="J16" s="5" t="s">
        <v>54</v>
      </c>
    </row>
    <row r="17" customFormat="false" ht="15" hidden="false" customHeight="false" outlineLevel="0" collapsed="false">
      <c r="A17" s="4" t="n">
        <v>1</v>
      </c>
      <c r="B17" s="5" t="s">
        <v>29</v>
      </c>
      <c r="C17" s="6" t="s">
        <v>55</v>
      </c>
      <c r="D17" s="5" t="s">
        <v>56</v>
      </c>
      <c r="E17" s="5" t="s">
        <v>50</v>
      </c>
      <c r="F17" s="7" t="n">
        <v>120</v>
      </c>
      <c r="G17" s="6" t="n">
        <v>1</v>
      </c>
      <c r="H17" s="8" t="n">
        <f aca="false">F17*G17</f>
        <v>120</v>
      </c>
      <c r="I17" s="9" t="s">
        <v>16</v>
      </c>
      <c r="J17" s="5"/>
    </row>
    <row r="18" customFormat="false" ht="15" hidden="false" customHeight="false" outlineLevel="0" collapsed="false">
      <c r="A18" s="4" t="n">
        <v>1</v>
      </c>
      <c r="B18" s="5" t="s">
        <v>29</v>
      </c>
      <c r="C18" s="6" t="s">
        <v>57</v>
      </c>
      <c r="D18" s="5" t="s">
        <v>58</v>
      </c>
      <c r="E18" s="5" t="s">
        <v>50</v>
      </c>
      <c r="F18" s="7" t="n">
        <v>500</v>
      </c>
      <c r="G18" s="6" t="n">
        <v>1</v>
      </c>
      <c r="H18" s="8" t="n">
        <f aca="false">F18*G18</f>
        <v>500</v>
      </c>
      <c r="I18" s="9" t="s">
        <v>16</v>
      </c>
      <c r="J18" s="5"/>
    </row>
    <row r="19" customFormat="false" ht="15" hidden="false" customHeight="false" outlineLevel="0" collapsed="false">
      <c r="A19" s="4" t="n">
        <v>2</v>
      </c>
      <c r="B19" s="5" t="s">
        <v>59</v>
      </c>
      <c r="C19" s="6" t="s">
        <v>60</v>
      </c>
      <c r="D19" s="5" t="s">
        <v>61</v>
      </c>
      <c r="E19" s="5" t="s">
        <v>62</v>
      </c>
      <c r="F19" s="7" t="n">
        <v>380</v>
      </c>
      <c r="G19" s="6" t="n">
        <v>4</v>
      </c>
      <c r="H19" s="8" t="n">
        <f aca="false">F19*G19</f>
        <v>1520</v>
      </c>
      <c r="I19" s="9" t="s">
        <v>16</v>
      </c>
      <c r="J19" s="5" t="s">
        <v>63</v>
      </c>
    </row>
    <row r="20" customFormat="false" ht="15" hidden="false" customHeight="false" outlineLevel="0" collapsed="false">
      <c r="A20" s="4" t="n">
        <v>2</v>
      </c>
      <c r="B20" s="5" t="s">
        <v>59</v>
      </c>
      <c r="C20" s="6" t="s">
        <v>64</v>
      </c>
      <c r="D20" s="5" t="s">
        <v>65</v>
      </c>
      <c r="E20" s="5" t="s">
        <v>66</v>
      </c>
      <c r="F20" s="7" t="n">
        <v>300</v>
      </c>
      <c r="G20" s="6" t="n">
        <v>1</v>
      </c>
      <c r="H20" s="8" t="n">
        <f aca="false">F20*G20</f>
        <v>300</v>
      </c>
      <c r="I20" s="9" t="s">
        <v>16</v>
      </c>
      <c r="J20" s="5" t="s">
        <v>67</v>
      </c>
    </row>
    <row r="21" customFormat="false" ht="15" hidden="false" customHeight="false" outlineLevel="0" collapsed="false">
      <c r="A21" s="4" t="n">
        <v>2</v>
      </c>
      <c r="B21" s="5" t="s">
        <v>59</v>
      </c>
      <c r="C21" s="6" t="s">
        <v>68</v>
      </c>
      <c r="D21" s="5" t="s">
        <v>69</v>
      </c>
      <c r="E21" s="5" t="s">
        <v>70</v>
      </c>
      <c r="F21" s="7" t="n">
        <v>250</v>
      </c>
      <c r="G21" s="6" t="n">
        <v>1</v>
      </c>
      <c r="H21" s="8" t="n">
        <f aca="false">F21*G21</f>
        <v>250</v>
      </c>
      <c r="I21" s="9" t="s">
        <v>16</v>
      </c>
      <c r="J21" s="5"/>
    </row>
    <row r="22" customFormat="false" ht="15" hidden="false" customHeight="false" outlineLevel="0" collapsed="false">
      <c r="A22" s="4" t="n">
        <v>2</v>
      </c>
      <c r="B22" s="5" t="s">
        <v>59</v>
      </c>
      <c r="C22" s="6" t="s">
        <v>71</v>
      </c>
      <c r="D22" s="5" t="s">
        <v>72</v>
      </c>
      <c r="E22" s="5" t="s">
        <v>50</v>
      </c>
      <c r="F22" s="7" t="n">
        <v>100</v>
      </c>
      <c r="G22" s="6" t="n">
        <v>1</v>
      </c>
      <c r="H22" s="8" t="n">
        <f aca="false">F22*G22</f>
        <v>100</v>
      </c>
      <c r="I22" s="9" t="s">
        <v>16</v>
      </c>
      <c r="J22" s="5"/>
    </row>
    <row r="23" customFormat="false" ht="15" hidden="false" customHeight="false" outlineLevel="0" collapsed="false">
      <c r="A23" s="4" t="n">
        <v>2</v>
      </c>
      <c r="B23" s="5" t="s">
        <v>73</v>
      </c>
      <c r="C23" s="6" t="s">
        <v>74</v>
      </c>
      <c r="D23" s="5" t="s">
        <v>75</v>
      </c>
      <c r="E23" s="5" t="s">
        <v>76</v>
      </c>
      <c r="F23" s="7" t="n">
        <v>30</v>
      </c>
      <c r="G23" s="6" t="n">
        <v>2</v>
      </c>
      <c r="H23" s="8" t="n">
        <f aca="false">F23*G23</f>
        <v>60</v>
      </c>
      <c r="I23" s="9" t="s">
        <v>16</v>
      </c>
      <c r="J23" s="5"/>
    </row>
    <row r="24" customFormat="false" ht="15" hidden="false" customHeight="false" outlineLevel="0" collapsed="false">
      <c r="A24" s="4" t="n">
        <v>2</v>
      </c>
      <c r="B24" s="5" t="s">
        <v>73</v>
      </c>
      <c r="C24" s="6" t="s">
        <v>77</v>
      </c>
      <c r="D24" s="5" t="s">
        <v>78</v>
      </c>
      <c r="E24" s="5" t="s">
        <v>76</v>
      </c>
      <c r="F24" s="7" t="n">
        <v>35</v>
      </c>
      <c r="G24" s="6" t="n">
        <v>2</v>
      </c>
      <c r="H24" s="8" t="n">
        <f aca="false">F24*G24</f>
        <v>70</v>
      </c>
      <c r="I24" s="9" t="s">
        <v>16</v>
      </c>
      <c r="J24" s="5"/>
    </row>
    <row r="25" customFormat="false" ht="15" hidden="false" customHeight="false" outlineLevel="0" collapsed="false">
      <c r="A25" s="4" t="n">
        <v>2</v>
      </c>
      <c r="B25" s="5" t="s">
        <v>73</v>
      </c>
      <c r="C25" s="6" t="s">
        <v>79</v>
      </c>
      <c r="D25" s="5" t="s">
        <v>80</v>
      </c>
      <c r="E25" s="5" t="s">
        <v>81</v>
      </c>
      <c r="F25" s="7" t="n">
        <v>120</v>
      </c>
      <c r="G25" s="6" t="n">
        <v>1</v>
      </c>
      <c r="H25" s="8" t="n">
        <f aca="false">F25*G25</f>
        <v>120</v>
      </c>
      <c r="I25" s="9" t="s">
        <v>16</v>
      </c>
      <c r="J25" s="5"/>
    </row>
    <row r="26" customFormat="false" ht="15" hidden="false" customHeight="false" outlineLevel="0" collapsed="false">
      <c r="A26" s="4" t="n">
        <v>2</v>
      </c>
      <c r="B26" s="5" t="s">
        <v>73</v>
      </c>
      <c r="C26" s="6" t="s">
        <v>82</v>
      </c>
      <c r="D26" s="5" t="s">
        <v>83</v>
      </c>
      <c r="E26" s="5" t="s">
        <v>84</v>
      </c>
      <c r="F26" s="7" t="n">
        <v>450</v>
      </c>
      <c r="G26" s="6" t="n">
        <v>1</v>
      </c>
      <c r="H26" s="8" t="n">
        <f aca="false">F26*G26</f>
        <v>450</v>
      </c>
      <c r="I26" s="9" t="s">
        <v>16</v>
      </c>
      <c r="J26" s="5"/>
    </row>
    <row r="27" customFormat="false" ht="15" hidden="false" customHeight="false" outlineLevel="0" collapsed="false">
      <c r="A27" s="4" t="n">
        <v>3</v>
      </c>
      <c r="B27" s="5" t="s">
        <v>12</v>
      </c>
      <c r="C27" s="6" t="s">
        <v>85</v>
      </c>
      <c r="D27" s="5" t="s">
        <v>86</v>
      </c>
      <c r="E27" s="5" t="s">
        <v>87</v>
      </c>
      <c r="F27" s="7" t="n">
        <v>1200</v>
      </c>
      <c r="G27" s="6" t="n">
        <v>1</v>
      </c>
      <c r="H27" s="8" t="n">
        <f aca="false">F27*G27</f>
        <v>1200</v>
      </c>
      <c r="I27" s="9" t="s">
        <v>16</v>
      </c>
      <c r="J27" s="5" t="s">
        <v>88</v>
      </c>
    </row>
    <row r="28" customFormat="false" ht="15" hidden="false" customHeight="false" outlineLevel="0" collapsed="false">
      <c r="A28" s="4" t="n">
        <v>3</v>
      </c>
      <c r="B28" s="5" t="s">
        <v>89</v>
      </c>
      <c r="C28" s="6" t="s">
        <v>90</v>
      </c>
      <c r="D28" s="5" t="s">
        <v>91</v>
      </c>
      <c r="E28" s="5" t="s">
        <v>92</v>
      </c>
      <c r="F28" s="7" t="n">
        <v>400</v>
      </c>
      <c r="G28" s="6" t="n">
        <v>1</v>
      </c>
      <c r="H28" s="8" t="n">
        <f aca="false">F28*G28</f>
        <v>400</v>
      </c>
      <c r="I28" s="9" t="s">
        <v>16</v>
      </c>
      <c r="J28" s="5" t="s">
        <v>93</v>
      </c>
    </row>
    <row r="29" customFormat="false" ht="15" hidden="false" customHeight="false" outlineLevel="0" collapsed="false">
      <c r="A29" s="4" t="n">
        <v>3</v>
      </c>
      <c r="B29" s="5" t="s">
        <v>89</v>
      </c>
      <c r="C29" s="6" t="s">
        <v>94</v>
      </c>
      <c r="D29" s="5" t="s">
        <v>95</v>
      </c>
      <c r="E29" s="5" t="s">
        <v>96</v>
      </c>
      <c r="F29" s="7" t="n">
        <v>800</v>
      </c>
      <c r="G29" s="6" t="n">
        <v>1</v>
      </c>
      <c r="H29" s="8" t="n">
        <f aca="false">F29*G29</f>
        <v>800</v>
      </c>
      <c r="I29" s="9" t="s">
        <v>16</v>
      </c>
      <c r="J29" s="5" t="s">
        <v>97</v>
      </c>
    </row>
    <row r="30" customFormat="false" ht="15" hidden="false" customHeight="false" outlineLevel="0" collapsed="false">
      <c r="A30" s="4" t="n">
        <v>3</v>
      </c>
      <c r="B30" s="5" t="s">
        <v>89</v>
      </c>
      <c r="C30" s="6" t="s">
        <v>98</v>
      </c>
      <c r="D30" s="5" t="s">
        <v>99</v>
      </c>
      <c r="E30" s="5" t="s">
        <v>100</v>
      </c>
      <c r="F30" s="7" t="n">
        <v>1300</v>
      </c>
      <c r="G30" s="6" t="n">
        <v>1</v>
      </c>
      <c r="H30" s="8" t="n">
        <f aca="false">F30*G30</f>
        <v>1300</v>
      </c>
      <c r="I30" s="9" t="s">
        <v>16</v>
      </c>
      <c r="J30" s="5" t="s">
        <v>101</v>
      </c>
    </row>
    <row r="31" customFormat="false" ht="15" hidden="false" customHeight="false" outlineLevel="0" collapsed="false">
      <c r="A31" s="4" t="n">
        <v>3</v>
      </c>
      <c r="B31" s="5" t="s">
        <v>102</v>
      </c>
      <c r="C31" s="6" t="s">
        <v>103</v>
      </c>
      <c r="D31" s="5" t="s">
        <v>104</v>
      </c>
      <c r="E31" s="5" t="s">
        <v>76</v>
      </c>
      <c r="F31" s="7" t="n">
        <v>300</v>
      </c>
      <c r="G31" s="6" t="n">
        <v>1</v>
      </c>
      <c r="H31" s="8" t="n">
        <f aca="false">F31*G31</f>
        <v>300</v>
      </c>
      <c r="I31" s="9" t="s">
        <v>16</v>
      </c>
      <c r="J31" s="5" t="s">
        <v>105</v>
      </c>
    </row>
    <row r="32" customFormat="false" ht="15" hidden="false" customHeight="false" outlineLevel="0" collapsed="false">
      <c r="A32" s="4" t="n">
        <v>3</v>
      </c>
      <c r="B32" s="5" t="s">
        <v>102</v>
      </c>
      <c r="C32" s="6" t="s">
        <v>106</v>
      </c>
      <c r="D32" s="5" t="s">
        <v>107</v>
      </c>
      <c r="E32" s="5" t="s">
        <v>50</v>
      </c>
      <c r="F32" s="7" t="n">
        <v>450</v>
      </c>
      <c r="G32" s="6" t="n">
        <v>1</v>
      </c>
      <c r="H32" s="8" t="n">
        <f aca="false">F32*G32</f>
        <v>450</v>
      </c>
      <c r="I32" s="9" t="s">
        <v>16</v>
      </c>
      <c r="J32" s="5"/>
    </row>
    <row r="34" customFormat="false" ht="15" hidden="false" customHeight="false" outlineLevel="0" collapsed="false">
      <c r="C34" s="10" t="s">
        <v>108</v>
      </c>
      <c r="H34" s="11" t="n">
        <f aca="false">SUM(H5:H32)</f>
        <v>12811</v>
      </c>
    </row>
    <row r="35" customFormat="false" ht="15" hidden="false" customHeight="false" outlineLevel="0" collapsed="false">
      <c r="C35" s="12" t="s">
        <v>109</v>
      </c>
      <c r="F35" s="13" t="n">
        <v>0.15</v>
      </c>
      <c r="H35" s="14" t="n">
        <f aca="false">H34*0.15</f>
        <v>1921.65</v>
      </c>
    </row>
    <row r="36" customFormat="false" ht="15" hidden="false" customHeight="false" outlineLevel="0" collapsed="false">
      <c r="C36" s="15" t="s">
        <v>110</v>
      </c>
      <c r="H36" s="16" t="n">
        <f aca="false">H34+H35</f>
        <v>14732.65</v>
      </c>
    </row>
    <row r="38" customFormat="false" ht="15" hidden="false" customHeight="false" outlineLevel="0" collapsed="false">
      <c r="C38" s="17" t="s">
        <v>111</v>
      </c>
    </row>
    <row r="39" customFormat="false" ht="15" hidden="false" customHeight="false" outlineLevel="0" collapsed="false">
      <c r="C39" s="18" t="s">
        <v>112</v>
      </c>
      <c r="D39" s="18" t="s">
        <v>3</v>
      </c>
      <c r="E39" s="18" t="s">
        <v>113</v>
      </c>
      <c r="F39" s="18" t="s">
        <v>114</v>
      </c>
    </row>
    <row r="40" customFormat="false" ht="15" hidden="false" customHeight="false" outlineLevel="0" collapsed="false">
      <c r="C40" s="19" t="s">
        <v>115</v>
      </c>
      <c r="D40" s="19" t="s">
        <v>12</v>
      </c>
      <c r="E40" s="19" t="s">
        <v>116</v>
      </c>
      <c r="F40" s="20" t="n">
        <f aca="false">SUMPRODUCT((B5:B32="SS01")*H5:H32)</f>
        <v>2856</v>
      </c>
    </row>
    <row r="41" customFormat="false" ht="15" hidden="false" customHeight="false" outlineLevel="0" collapsed="false">
      <c r="C41" s="19" t="s">
        <v>117</v>
      </c>
      <c r="D41" s="19" t="s">
        <v>29</v>
      </c>
      <c r="E41" s="19" t="s">
        <v>118</v>
      </c>
      <c r="F41" s="20" t="n">
        <f aca="false">SUMPRODUCT((B5:B32="SS02")*H5:H32)</f>
        <v>3835</v>
      </c>
    </row>
    <row r="42" customFormat="false" ht="15" hidden="false" customHeight="false" outlineLevel="0" collapsed="false">
      <c r="C42" s="19" t="s">
        <v>119</v>
      </c>
      <c r="D42" s="19" t="s">
        <v>59</v>
      </c>
      <c r="E42" s="19" t="s">
        <v>120</v>
      </c>
      <c r="F42" s="20" t="n">
        <f aca="false">SUMPRODUCT((B5:B32="SS03")*H5:H32)</f>
        <v>2170</v>
      </c>
    </row>
    <row r="43" customFormat="false" ht="15" hidden="false" customHeight="false" outlineLevel="0" collapsed="false">
      <c r="C43" s="19" t="s">
        <v>121</v>
      </c>
      <c r="D43" s="19" t="s">
        <v>73</v>
      </c>
      <c r="E43" s="19" t="s">
        <v>122</v>
      </c>
      <c r="F43" s="20" t="n">
        <f aca="false">SUMPRODUCT((B5:B32="SS04")*H5:H32)</f>
        <v>700</v>
      </c>
    </row>
    <row r="44" customFormat="false" ht="15" hidden="false" customHeight="false" outlineLevel="0" collapsed="false">
      <c r="C44" s="19" t="s">
        <v>123</v>
      </c>
      <c r="D44" s="19" t="s">
        <v>89</v>
      </c>
      <c r="E44" s="19" t="s">
        <v>124</v>
      </c>
      <c r="F44" s="20" t="n">
        <f aca="false">SUMPRODUCT((B5:B32="SS06")*H5:H32)</f>
        <v>2500</v>
      </c>
    </row>
    <row r="45" customFormat="false" ht="15" hidden="false" customHeight="false" outlineLevel="0" collapsed="false">
      <c r="C45" s="19" t="s">
        <v>125</v>
      </c>
      <c r="D45" s="19" t="s">
        <v>102</v>
      </c>
      <c r="E45" s="19" t="s">
        <v>122</v>
      </c>
      <c r="F45" s="20" t="n">
        <f aca="false">SUMPRODUCT((B5:B32="—")*H5:H32)</f>
        <v>750</v>
      </c>
    </row>
    <row r="47" customFormat="false" ht="15" hidden="false" customHeight="false" outlineLevel="0" collapsed="false">
      <c r="C47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2026-07-08T05:18:49Z</dcterms:created>
  <dc:creator>openpyxl</dc:creator>
  <dc:description/>
  <dc:language>en-US</dc:language>
  <cp:lastModifiedBy/>
  <dcterms:modified xsi:type="dcterms:W3CDTF">2026-07-08T05:18:49Z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